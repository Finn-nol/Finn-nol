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zhaw-my.sharepoint.com/personal/hierifin_students_zhaw_ch/Documents/Daten und Information/DIX/"/>
    </mc:Choice>
  </mc:AlternateContent>
  <xr:revisionPtr revIDLastSave="303" documentId="8_{31E4F4B9-29C8-C047-BDBE-0EF21EA183AA}" xr6:coauthVersionLast="47" xr6:coauthVersionMax="47" xr10:uidLastSave="{1425F64B-BA4A-BF48-B3B9-953799CE8E75}"/>
  <bookViews>
    <workbookView xWindow="0" yWindow="680" windowWidth="29400" windowHeight="17200" activeTab="1" xr2:uid="{00000000-000D-0000-FFFF-FFFF00000000}"/>
  </bookViews>
  <sheets>
    <sheet name="Rohdaten" sheetId="1" r:id="rId1"/>
    <sheet name="Datenschema" sheetId="3" r:id="rId2"/>
    <sheet name="Datenerhebung_ordinal" sheetId="4" r:id="rId3"/>
    <sheet name="Datenerhebung_nominal" sheetId="5" r:id="rId4"/>
    <sheet name="Auswertung" sheetId="2" r:id="rId5"/>
  </sheets>
  <definedNames>
    <definedName name="_xlchart.v1.0" hidden="1">Auswertung!$A$66:$A$71</definedName>
    <definedName name="_xlchart.v1.1" hidden="1">Auswertung!$B$66:$B$71</definedName>
    <definedName name="_xlchart.v1.2" hidden="1">Auswertung!$A$66:$A$71</definedName>
    <definedName name="_xlchart.v1.3" hidden="1">Auswertung!$B$66:$B$71</definedName>
    <definedName name="_xlchart.v1.4" hidden="1">Auswertung!$A$66:$A$71</definedName>
    <definedName name="_xlchart.v1.5" hidden="1">Auswertung!$A$67:$A$71</definedName>
    <definedName name="_xlchart.v1.6" hidden="1">Auswertung!$B$66:$B$71</definedName>
    <definedName name="_xlchart.v1.7" hidden="1">Auswertung!$B$67:$B$71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F4" i="5"/>
  <c r="F3" i="5"/>
  <c r="F2" i="5"/>
  <c r="E5" i="5"/>
  <c r="E4" i="5"/>
  <c r="E3" i="5"/>
  <c r="E2" i="5"/>
  <c r="D2" i="5" a="1"/>
  <c r="D2" i="5" s="1"/>
  <c r="C2" i="5"/>
  <c r="L2" i="4"/>
  <c r="K2" i="4" a="1"/>
  <c r="K2" i="4" s="1"/>
  <c r="J2" i="4"/>
  <c r="I2" i="4"/>
  <c r="H2" i="4"/>
  <c r="G2" i="4"/>
  <c r="F2" i="4"/>
  <c r="E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" i="4"/>
  <c r="B71" i="2" l="1"/>
  <c r="B70" i="2"/>
  <c r="B69" i="2"/>
  <c r="B68" i="2"/>
  <c r="B67" i="2"/>
  <c r="B55" i="2"/>
  <c r="B54" i="2"/>
  <c r="B53" i="2"/>
  <c r="B52" i="2"/>
  <c r="B51" i="2"/>
  <c r="B39" i="2"/>
  <c r="B38" i="2"/>
  <c r="B37" i="2"/>
  <c r="B36" i="2"/>
  <c r="B35" i="2"/>
  <c r="B23" i="2"/>
  <c r="B22" i="2"/>
  <c r="B21" i="2"/>
  <c r="B20" i="2"/>
  <c r="B19" i="2"/>
  <c r="B7" i="2"/>
  <c r="B6" i="2"/>
  <c r="B5" i="2"/>
  <c r="B4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<sst xmlns="http://schemas.openxmlformats.org/spreadsheetml/2006/main" count="360" uniqueCount="120">
  <si>
    <t>ID</t>
  </si>
  <si>
    <t>Studiengang_Entscheid</t>
  </si>
  <si>
    <t>Motivationslevel</t>
  </si>
  <si>
    <t>Selbststudium_Stunden</t>
  </si>
  <si>
    <t>Lernmethoden</t>
  </si>
  <si>
    <t>Workflow</t>
  </si>
  <si>
    <t>Prokrastination</t>
  </si>
  <si>
    <t>Zufriedenheit_Leistung</t>
  </si>
  <si>
    <t>Hauptmotivation</t>
  </si>
  <si>
    <t>Stresslevel</t>
  </si>
  <si>
    <t>Massnahmen</t>
  </si>
  <si>
    <t>Interesse am Fachgebiet</t>
  </si>
  <si>
    <t>Sehr motiviert</t>
  </si>
  <si>
    <t>Unter 5 Stunden</t>
  </si>
  <si>
    <t>Zusammenfassungen schreiben; Videos / Online Kurse</t>
  </si>
  <si>
    <t>Sehr gut</t>
  </si>
  <si>
    <t>Selten</t>
  </si>
  <si>
    <t>Sehr zufrieden</t>
  </si>
  <si>
    <t>Interesse am Wissen</t>
  </si>
  <si>
    <t>Eher stark</t>
  </si>
  <si>
    <t>Bessere Zeitplannung; Lernräume / ruhige Umgebung</t>
  </si>
  <si>
    <t>Eher motiviert</t>
  </si>
  <si>
    <t>Zusammenfassungen schreiben</t>
  </si>
  <si>
    <t>Bessere Zeitplannung</t>
  </si>
  <si>
    <t>5-10 Stunden</t>
  </si>
  <si>
    <t>Zusammenfassungen schreiben; Karteikarten / Lern-Apps</t>
  </si>
  <si>
    <t>Coaching / Motivationstraining</t>
  </si>
  <si>
    <t>Videos / Online Kurse</t>
  </si>
  <si>
    <t>Gut</t>
  </si>
  <si>
    <t>Gelegentlich</t>
  </si>
  <si>
    <t>Bessere Zeitplannung; Coaching / Motivationstraining</t>
  </si>
  <si>
    <t>Zusammenfassungen schreiben; Lerngruppen</t>
  </si>
  <si>
    <t>Zufrieden</t>
  </si>
  <si>
    <t>Lernräume / ruhige Umgebung</t>
  </si>
  <si>
    <t>Videos / Online Kurse; Lerngruppen</t>
  </si>
  <si>
    <t>Gute Noten</t>
  </si>
  <si>
    <t>Unterstützung durch Dozent:innen</t>
  </si>
  <si>
    <t>Zusammenfassungen schreiben; Videos / Online Kurse; Karteikarten / Lern-Apps</t>
  </si>
  <si>
    <t>Zukunft und Karriere</t>
  </si>
  <si>
    <t>Zusammenfassungen schreiben; Sonstiges</t>
  </si>
  <si>
    <t>Mittel</t>
  </si>
  <si>
    <t>Bessere Zeitplannung; Austausch mit Kommiliton:innen</t>
  </si>
  <si>
    <t>Videos / Online Kurse; Sonstiges</t>
  </si>
  <si>
    <t>Mittelmässig</t>
  </si>
  <si>
    <t>Neutral</t>
  </si>
  <si>
    <t>Lernräume / ruhige Umgebung; Coaching / Motivationstraining</t>
  </si>
  <si>
    <t>10-20 Stunden</t>
  </si>
  <si>
    <t>Karteikarten / Lern-Apps</t>
  </si>
  <si>
    <t>Oft</t>
  </si>
  <si>
    <t>Teils</t>
  </si>
  <si>
    <t>Gute Berufsaussichten</t>
  </si>
  <si>
    <t>Lerngruppen; Sonstiges</t>
  </si>
  <si>
    <t>Erwartungen von Familie / Freunde</t>
  </si>
  <si>
    <t>Eigentlich immer</t>
  </si>
  <si>
    <t>Persönliche Entwicklung</t>
  </si>
  <si>
    <t>Eher gering</t>
  </si>
  <si>
    <t>Zufall / keine klare Entscheidung</t>
  </si>
  <si>
    <t>Eher unmotiviert</t>
  </si>
  <si>
    <t>Schlecht</t>
  </si>
  <si>
    <t>Gar nicht</t>
  </si>
  <si>
    <t>Austausch mit Kommiliton:innen</t>
  </si>
  <si>
    <t>Sehr schlecht</t>
  </si>
  <si>
    <t>Sonstiges</t>
  </si>
  <si>
    <t>Über 20 Stunden</t>
  </si>
  <si>
    <t>Häufigkeit Motivationslevel (Frage 2)</t>
  </si>
  <si>
    <t>Antwort</t>
  </si>
  <si>
    <t>Anzahl</t>
  </si>
  <si>
    <t>Gar nicht motiviert</t>
  </si>
  <si>
    <t>Häufigkeit Prokrastination (Frage 6)</t>
  </si>
  <si>
    <t>Fast nie</t>
  </si>
  <si>
    <t>Häufigkeit Stresslevel (Frage 9)</t>
  </si>
  <si>
    <t>Sehr stark</t>
  </si>
  <si>
    <t>Häufigkeit Lernmethoden (Frage 4)</t>
  </si>
  <si>
    <t>Lernmethode</t>
  </si>
  <si>
    <t>Anzahl (mind. einmal gewählt)</t>
  </si>
  <si>
    <t>Lerngruppen</t>
  </si>
  <si>
    <t>Häufigkeit Massnahmen (Frage 10)</t>
  </si>
  <si>
    <t>Massnahme</t>
  </si>
  <si>
    <t>Bedeutung (Fragetext)</t>
  </si>
  <si>
    <t>Merkmal</t>
  </si>
  <si>
    <t>Datentyp</t>
  </si>
  <si>
    <t>Skalierung</t>
  </si>
  <si>
    <t>Wertebereich</t>
  </si>
  <si>
    <t>Warum hast du dich für deinen aktuellen Studiengang entschieden?</t>
  </si>
  <si>
    <t>Zeichenkette</t>
  </si>
  <si>
    <t>nominal</t>
  </si>
  <si>
    <t>{Interesse, Berufsaussichten, Empfehlung, Zufall, Sonstiges}</t>
  </si>
  <si>
    <t>Wie motiviert fühlen Sie sich aktuell für ihr Studium?</t>
  </si>
  <si>
    <t>Zahl</t>
  </si>
  <si>
    <t>ordinal</t>
  </si>
  <si>
    <t>{1=Sehr motiviert, 2=Eher motiviert, 3=Neutral, 4=Eher unmotiviert, 5=Gar nicht motiviert}</t>
  </si>
  <si>
    <t>Wie viele Stunden pro Woche investieren Sie in das Selbststudium?</t>
  </si>
  <si>
    <t>{1=Unter 5, 2=5–10, 3=10–20, 4=Über 20}</t>
  </si>
  <si>
    <t>Welche Lernmethoden nutzen Sie am meisten?</t>
  </si>
  <si>
    <t>{Zusammenfassungen, Karteikarten, Lerngruppen, Videos, Sonstiges}</t>
  </si>
  <si>
    <t>Wie gut können Sie einen optimalen Workflow erreichen?</t>
  </si>
  <si>
    <t>{1=Sehr gut, 2=Gut, 3=Mittelmässig, 4=Schlecht, 5=Sehr schlecht}</t>
  </si>
  <si>
    <t>Wie oft schieben Sie Lernaufgaben auf?</t>
  </si>
  <si>
    <t>{1=Fast nie, 2=Selten, 3=Gelegentlich, 4=Oft, 5=Immer}</t>
  </si>
  <si>
    <t>Wie zufrieden sind Sie mit Ihrer aktuellen Studienleistung?</t>
  </si>
  <si>
    <t>{1=Sehr zufrieden, 2=Zufrieden, 3=Teils, 4=Unzufrieden, 5=Sehr unzufrieden}</t>
  </si>
  <si>
    <t>Was motiviert Sie am meisten?</t>
  </si>
  <si>
    <t>{Interesse, Noten, Karriere, Erwartungen, Entwicklung}</t>
  </si>
  <si>
    <t>Wie stark empfinden Sie Stress?</t>
  </si>
  <si>
    <t>{1=Sehr stark, 2=Eher stark, 3=Mittel, 4=Eher gering, 5=Gar nicht}</t>
  </si>
  <si>
    <t>Welche Massnahmen würden Ihnen helfen, das Lernen zu verbessern?</t>
  </si>
  <si>
    <t>{Zeitplanung, Dozentenhilfe, Lernräume, Austausch, Coaching}</t>
  </si>
  <si>
    <t xml:space="preserve">Unter 5 </t>
  </si>
  <si>
    <t>Stunden umkodiert</t>
  </si>
  <si>
    <t>Anzahl Antworten</t>
  </si>
  <si>
    <t>MIN</t>
  </si>
  <si>
    <t>Q1</t>
  </si>
  <si>
    <t>Median</t>
  </si>
  <si>
    <t>Q3</t>
  </si>
  <si>
    <t>MAX</t>
  </si>
  <si>
    <t>MAD</t>
  </si>
  <si>
    <t>IQR</t>
  </si>
  <si>
    <t xml:space="preserve">Zeichenkette </t>
  </si>
  <si>
    <t>Absolute Häufigkeit</t>
  </si>
  <si>
    <t>Relative Häufigkeit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</si>
</sst>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164" fontId="0" fillId="0" borderId="1" xfId="0" applyNumberForma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Motivation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Auswertung!$A$3:$A$7</c:f>
              <c:strCache>
                <c:ptCount val="5"/>
                <c:pt idx="0">
                  <c:v>Sehr motiviert</c:v>
                </c:pt>
                <c:pt idx="1">
                  <c:v>Eher motiviert</c:v>
                </c:pt>
                <c:pt idx="2">
                  <c:v>Neutral</c:v>
                </c:pt>
                <c:pt idx="3">
                  <c:v>Eher unmotiviert</c:v>
                </c:pt>
                <c:pt idx="4">
                  <c:v>Gar nicht motiviert</c:v>
                </c:pt>
              </c:strCache>
            </c:strRef>
          </c:cat>
          <c:val>
            <c:numRef>
              <c:f>Auswertung!$B$3:$B$7</c:f>
              <c:numCache>
                <c:formatCode>General</c:formatCode>
                <c:ptCount val="5"/>
                <c:pt idx="0">
                  <c:v>1</c:v>
                </c:pt>
                <c:pt idx="1">
                  <c:v>11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9-F54A-87DC-8D5ED5ED1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Prokrastination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F5-A049-A8EC-2D4A9350674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F5-A049-A8EC-2D4A9350674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F5-A049-A8EC-2D4A9350674F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F5-A049-A8EC-2D4A9350674F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F5-A049-A8EC-2D4A935067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Auswertung!$A$20:$A$24</c:f>
              <c:strCache>
                <c:ptCount val="4"/>
                <c:pt idx="0">
                  <c:v>Selten</c:v>
                </c:pt>
                <c:pt idx="1">
                  <c:v>Gelegentlich</c:v>
                </c:pt>
                <c:pt idx="2">
                  <c:v>Oft</c:v>
                </c:pt>
                <c:pt idx="3">
                  <c:v>Eigentlich immer</c:v>
                </c:pt>
              </c:strCache>
            </c:strRef>
          </c:cat>
          <c:val>
            <c:numRef>
              <c:f>Auswertung!$B$20:$B$24</c:f>
              <c:numCache>
                <c:formatCode>General</c:formatCode>
                <c:ptCount val="5"/>
                <c:pt idx="0">
                  <c:v>3</c:v>
                </c:pt>
                <c:pt idx="1">
                  <c:v>10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A-D740-8D76-16334B4AC28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Stresslevel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4B6-E64B-96DC-5D1242C1B7B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4B6-E64B-96DC-5D1242C1B7B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4B6-E64B-96DC-5D1242C1B7B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14B6-E64B-96DC-5D1242C1B7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Auswertung!$A$36:$A$39</c:f>
              <c:strCache>
                <c:ptCount val="4"/>
                <c:pt idx="0">
                  <c:v>Eher stark</c:v>
                </c:pt>
                <c:pt idx="1">
                  <c:v>Mittel</c:v>
                </c:pt>
                <c:pt idx="2">
                  <c:v>Eher gering</c:v>
                </c:pt>
                <c:pt idx="3">
                  <c:v>Gar nicht</c:v>
                </c:pt>
              </c:strCache>
            </c:strRef>
          </c:cat>
          <c:val>
            <c:numRef>
              <c:f>Auswertung!$B$36:$B$39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D-DF44-88EF-64311F729CA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Lernmethoden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Auswertung!$A$51:$A$54</c:f>
              <c:strCache>
                <c:ptCount val="4"/>
                <c:pt idx="0">
                  <c:v>Zusammenfassungen schreiben</c:v>
                </c:pt>
                <c:pt idx="1">
                  <c:v>Karteikarten / Lern-Apps</c:v>
                </c:pt>
                <c:pt idx="2">
                  <c:v>Lerngruppen</c:v>
                </c:pt>
                <c:pt idx="3">
                  <c:v>Videos / Online Kurse</c:v>
                </c:pt>
              </c:strCache>
            </c:strRef>
          </c:cat>
          <c:val>
            <c:numRef>
              <c:f>Auswertung!$B$51:$B$54</c:f>
              <c:numCache>
                <c:formatCode>General</c:formatCode>
                <c:ptCount val="4"/>
                <c:pt idx="0">
                  <c:v>12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1-9246-861E-EE2EBD27A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Massnahmen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Auswertung!$A$67:$A$71</c:f>
              <c:strCache>
                <c:ptCount val="5"/>
                <c:pt idx="0">
                  <c:v>Bessere Zeitplannung</c:v>
                </c:pt>
                <c:pt idx="1">
                  <c:v>Unterstützung durch Dozent:innen</c:v>
                </c:pt>
                <c:pt idx="2">
                  <c:v>Lernräume / ruhige Umgebung</c:v>
                </c:pt>
                <c:pt idx="3">
                  <c:v>Austausch mit Kommiliton:innen</c:v>
                </c:pt>
                <c:pt idx="4">
                  <c:v>Coaching / Motivationstraining</c:v>
                </c:pt>
              </c:strCache>
            </c:strRef>
          </c:xVal>
          <c:yVal>
            <c:numRef>
              <c:f>Auswertung!$B$67:$B$71</c:f>
              <c:numCache>
                <c:formatCode>General</c:formatCode>
                <c:ptCount val="5"/>
                <c:pt idx="0">
                  <c:v>10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DE-D042-B238-12456D846D2E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axId val="1745324672"/>
        <c:axId val="1659891968"/>
      </c:scatterChart>
      <c:valAx>
        <c:axId val="174532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9891968"/>
        <c:crosses val="autoZero"/>
        <c:crossBetween val="midCat"/>
      </c:valAx>
      <c:valAx>
        <c:axId val="16598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4532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660400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16</xdr:row>
      <xdr:rowOff>12700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31</xdr:row>
      <xdr:rowOff>177800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48</xdr:row>
      <xdr:rowOff>12700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64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Normal="100" workbookViewId="0">
      <selection activeCell="B1" sqref="B1:B21"/>
    </sheetView>
  </sheetViews>
  <sheetFormatPr baseColWidth="10" defaultColWidth="8.83203125" defaultRowHeight="15" x14ac:dyDescent="0.2"/>
  <cols>
    <col min="2" max="2" width="27.33203125" customWidth="1"/>
    <col min="3" max="3" width="14.6640625" customWidth="1"/>
    <col min="4" max="4" width="14.5" customWidth="1"/>
    <col min="5" max="5" width="59.6640625" customWidth="1"/>
    <col min="6" max="6" width="11" customWidth="1"/>
    <col min="7" max="7" width="13.83203125" customWidth="1"/>
    <col min="8" max="8" width="11.6640625" customWidth="1"/>
    <col min="9" max="9" width="19.33203125" customWidth="1"/>
    <col min="10" max="10" width="9" customWidth="1"/>
    <col min="11" max="11" width="48.1640625" customWidth="1"/>
    <col min="12" max="16" width="8.83203125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>
        <v>2</v>
      </c>
      <c r="B3" t="s">
        <v>11</v>
      </c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23</v>
      </c>
    </row>
    <row r="4" spans="1:11" x14ac:dyDescent="0.2">
      <c r="A4">
        <v>3</v>
      </c>
      <c r="B4" t="s">
        <v>11</v>
      </c>
      <c r="C4" t="s">
        <v>21</v>
      </c>
      <c r="D4" t="s">
        <v>24</v>
      </c>
      <c r="E4" t="s">
        <v>25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26</v>
      </c>
    </row>
    <row r="5" spans="1:11" x14ac:dyDescent="0.2">
      <c r="A5">
        <v>4</v>
      </c>
      <c r="B5" t="s">
        <v>11</v>
      </c>
      <c r="C5" t="s">
        <v>21</v>
      </c>
      <c r="D5" t="s">
        <v>24</v>
      </c>
      <c r="E5" t="s">
        <v>27</v>
      </c>
      <c r="F5" t="s">
        <v>28</v>
      </c>
      <c r="G5" t="s">
        <v>29</v>
      </c>
      <c r="H5" t="s">
        <v>17</v>
      </c>
      <c r="I5" t="s">
        <v>18</v>
      </c>
      <c r="J5" t="s">
        <v>19</v>
      </c>
      <c r="K5" t="s">
        <v>30</v>
      </c>
    </row>
    <row r="6" spans="1:11" x14ac:dyDescent="0.2">
      <c r="A6">
        <v>5</v>
      </c>
      <c r="B6" t="s">
        <v>11</v>
      </c>
      <c r="C6" t="s">
        <v>21</v>
      </c>
      <c r="D6" t="s">
        <v>24</v>
      </c>
      <c r="E6" t="s">
        <v>31</v>
      </c>
      <c r="F6" t="s">
        <v>28</v>
      </c>
      <c r="G6" t="s">
        <v>29</v>
      </c>
      <c r="H6" t="s">
        <v>32</v>
      </c>
      <c r="I6" t="s">
        <v>18</v>
      </c>
      <c r="J6" t="s">
        <v>19</v>
      </c>
      <c r="K6" t="s">
        <v>33</v>
      </c>
    </row>
    <row r="7" spans="1:11" x14ac:dyDescent="0.2">
      <c r="A7">
        <v>6</v>
      </c>
      <c r="B7" t="s">
        <v>11</v>
      </c>
      <c r="C7" t="s">
        <v>21</v>
      </c>
      <c r="D7" t="s">
        <v>24</v>
      </c>
      <c r="E7" t="s">
        <v>34</v>
      </c>
      <c r="F7" t="s">
        <v>28</v>
      </c>
      <c r="G7" t="s">
        <v>29</v>
      </c>
      <c r="H7" t="s">
        <v>32</v>
      </c>
      <c r="I7" t="s">
        <v>35</v>
      </c>
      <c r="J7" t="s">
        <v>19</v>
      </c>
      <c r="K7" t="s">
        <v>36</v>
      </c>
    </row>
    <row r="8" spans="1:11" x14ac:dyDescent="0.2">
      <c r="A8">
        <v>7</v>
      </c>
      <c r="B8" t="s">
        <v>11</v>
      </c>
      <c r="C8" t="s">
        <v>21</v>
      </c>
      <c r="D8" t="s">
        <v>24</v>
      </c>
      <c r="E8" t="s">
        <v>37</v>
      </c>
      <c r="F8" t="s">
        <v>28</v>
      </c>
      <c r="G8" t="s">
        <v>29</v>
      </c>
      <c r="H8" t="s">
        <v>32</v>
      </c>
      <c r="I8" t="s">
        <v>38</v>
      </c>
      <c r="J8" t="s">
        <v>19</v>
      </c>
      <c r="K8" t="s">
        <v>23</v>
      </c>
    </row>
    <row r="9" spans="1:11" x14ac:dyDescent="0.2">
      <c r="A9">
        <v>8</v>
      </c>
      <c r="B9" t="s">
        <v>11</v>
      </c>
      <c r="C9" t="s">
        <v>21</v>
      </c>
      <c r="D9" t="s">
        <v>24</v>
      </c>
      <c r="E9" t="s">
        <v>22</v>
      </c>
      <c r="F9" t="s">
        <v>28</v>
      </c>
      <c r="G9" t="s">
        <v>29</v>
      </c>
      <c r="H9" t="s">
        <v>32</v>
      </c>
      <c r="I9" t="s">
        <v>38</v>
      </c>
      <c r="J9" t="s">
        <v>19</v>
      </c>
      <c r="K9" t="s">
        <v>26</v>
      </c>
    </row>
    <row r="10" spans="1:11" x14ac:dyDescent="0.2">
      <c r="A10">
        <v>9</v>
      </c>
      <c r="B10" t="s">
        <v>11</v>
      </c>
      <c r="C10" t="s">
        <v>21</v>
      </c>
      <c r="D10" t="s">
        <v>24</v>
      </c>
      <c r="E10" t="s">
        <v>39</v>
      </c>
      <c r="F10" t="s">
        <v>28</v>
      </c>
      <c r="G10" t="s">
        <v>29</v>
      </c>
      <c r="H10" t="s">
        <v>32</v>
      </c>
      <c r="I10" t="s">
        <v>38</v>
      </c>
      <c r="J10" t="s">
        <v>40</v>
      </c>
      <c r="K10" t="s">
        <v>41</v>
      </c>
    </row>
    <row r="11" spans="1:11" x14ac:dyDescent="0.2">
      <c r="A11">
        <v>10</v>
      </c>
      <c r="B11" t="s">
        <v>11</v>
      </c>
      <c r="C11" t="s">
        <v>21</v>
      </c>
      <c r="D11" t="s">
        <v>24</v>
      </c>
      <c r="E11" t="s">
        <v>27</v>
      </c>
      <c r="F11" t="s">
        <v>28</v>
      </c>
      <c r="G11" t="s">
        <v>29</v>
      </c>
      <c r="H11" t="s">
        <v>32</v>
      </c>
      <c r="I11" t="s">
        <v>38</v>
      </c>
      <c r="J11" t="s">
        <v>40</v>
      </c>
      <c r="K11" t="s">
        <v>33</v>
      </c>
    </row>
    <row r="12" spans="1:11" x14ac:dyDescent="0.2">
      <c r="A12">
        <v>11</v>
      </c>
      <c r="B12" t="s">
        <v>11</v>
      </c>
      <c r="C12" t="s">
        <v>21</v>
      </c>
      <c r="D12" t="s">
        <v>24</v>
      </c>
      <c r="E12" t="s">
        <v>25</v>
      </c>
      <c r="F12" t="s">
        <v>28</v>
      </c>
      <c r="G12" t="s">
        <v>29</v>
      </c>
      <c r="H12" t="s">
        <v>32</v>
      </c>
      <c r="I12" t="s">
        <v>38</v>
      </c>
      <c r="J12" t="s">
        <v>40</v>
      </c>
      <c r="K12" t="s">
        <v>26</v>
      </c>
    </row>
    <row r="13" spans="1:11" x14ac:dyDescent="0.2">
      <c r="A13">
        <v>12</v>
      </c>
      <c r="B13" t="s">
        <v>11</v>
      </c>
      <c r="C13" t="s">
        <v>21</v>
      </c>
      <c r="D13" t="s">
        <v>24</v>
      </c>
      <c r="E13" t="s">
        <v>42</v>
      </c>
      <c r="F13" t="s">
        <v>43</v>
      </c>
      <c r="G13" t="s">
        <v>29</v>
      </c>
      <c r="H13" t="s">
        <v>32</v>
      </c>
      <c r="I13" t="s">
        <v>38</v>
      </c>
      <c r="J13" t="s">
        <v>40</v>
      </c>
      <c r="K13" t="s">
        <v>23</v>
      </c>
    </row>
    <row r="14" spans="1:11" x14ac:dyDescent="0.2">
      <c r="A14">
        <v>13</v>
      </c>
      <c r="B14" t="s">
        <v>11</v>
      </c>
      <c r="C14" t="s">
        <v>44</v>
      </c>
      <c r="D14" t="s">
        <v>24</v>
      </c>
      <c r="E14" t="s">
        <v>31</v>
      </c>
      <c r="F14" t="s">
        <v>43</v>
      </c>
      <c r="G14" t="s">
        <v>29</v>
      </c>
      <c r="H14" t="s">
        <v>32</v>
      </c>
      <c r="I14" t="s">
        <v>38</v>
      </c>
      <c r="J14" t="s">
        <v>40</v>
      </c>
      <c r="K14" t="s">
        <v>45</v>
      </c>
    </row>
    <row r="15" spans="1:11" x14ac:dyDescent="0.2">
      <c r="A15">
        <v>14</v>
      </c>
      <c r="B15" t="s">
        <v>11</v>
      </c>
      <c r="C15" t="s">
        <v>44</v>
      </c>
      <c r="D15" t="s">
        <v>46</v>
      </c>
      <c r="E15" t="s">
        <v>47</v>
      </c>
      <c r="F15" t="s">
        <v>43</v>
      </c>
      <c r="G15" t="s">
        <v>48</v>
      </c>
      <c r="H15" t="s">
        <v>32</v>
      </c>
      <c r="I15" t="s">
        <v>38</v>
      </c>
      <c r="J15" t="s">
        <v>40</v>
      </c>
      <c r="K15" t="s">
        <v>23</v>
      </c>
    </row>
    <row r="16" spans="1:11" x14ac:dyDescent="0.2">
      <c r="A16">
        <v>15</v>
      </c>
      <c r="B16" t="s">
        <v>11</v>
      </c>
      <c r="C16" t="s">
        <v>44</v>
      </c>
      <c r="D16" t="s">
        <v>46</v>
      </c>
      <c r="E16" t="s">
        <v>14</v>
      </c>
      <c r="F16" t="s">
        <v>43</v>
      </c>
      <c r="G16" t="s">
        <v>48</v>
      </c>
      <c r="H16" t="s">
        <v>49</v>
      </c>
      <c r="I16" t="s">
        <v>38</v>
      </c>
      <c r="J16" t="s">
        <v>40</v>
      </c>
      <c r="K16" t="s">
        <v>26</v>
      </c>
    </row>
    <row r="17" spans="1:11" x14ac:dyDescent="0.2">
      <c r="A17">
        <v>16</v>
      </c>
      <c r="B17" t="s">
        <v>50</v>
      </c>
      <c r="C17" t="s">
        <v>44</v>
      </c>
      <c r="D17" t="s">
        <v>46</v>
      </c>
      <c r="E17" t="s">
        <v>51</v>
      </c>
      <c r="F17" t="s">
        <v>43</v>
      </c>
      <c r="G17" t="s">
        <v>48</v>
      </c>
      <c r="H17" t="s">
        <v>49</v>
      </c>
      <c r="I17" t="s">
        <v>52</v>
      </c>
      <c r="J17" t="s">
        <v>40</v>
      </c>
      <c r="K17" t="s">
        <v>23</v>
      </c>
    </row>
    <row r="18" spans="1:11" x14ac:dyDescent="0.2">
      <c r="A18">
        <v>17</v>
      </c>
      <c r="B18" t="s">
        <v>50</v>
      </c>
      <c r="C18" t="s">
        <v>44</v>
      </c>
      <c r="D18" t="s">
        <v>46</v>
      </c>
      <c r="E18" t="s">
        <v>27</v>
      </c>
      <c r="F18" t="s">
        <v>43</v>
      </c>
      <c r="G18" t="s">
        <v>53</v>
      </c>
      <c r="H18" t="s">
        <v>49</v>
      </c>
      <c r="I18" t="s">
        <v>54</v>
      </c>
      <c r="J18" t="s">
        <v>55</v>
      </c>
      <c r="K18" t="s">
        <v>33</v>
      </c>
    </row>
    <row r="19" spans="1:11" x14ac:dyDescent="0.2">
      <c r="A19">
        <v>18</v>
      </c>
      <c r="B19" t="s">
        <v>56</v>
      </c>
      <c r="C19" t="s">
        <v>57</v>
      </c>
      <c r="D19" t="s">
        <v>46</v>
      </c>
      <c r="E19" t="s">
        <v>22</v>
      </c>
      <c r="F19" t="s">
        <v>58</v>
      </c>
      <c r="G19" t="s">
        <v>53</v>
      </c>
      <c r="H19" t="s">
        <v>49</v>
      </c>
      <c r="I19" t="s">
        <v>54</v>
      </c>
      <c r="J19" t="s">
        <v>59</v>
      </c>
      <c r="K19" t="s">
        <v>60</v>
      </c>
    </row>
    <row r="20" spans="1:11" x14ac:dyDescent="0.2">
      <c r="A20">
        <v>19</v>
      </c>
      <c r="B20" t="s">
        <v>56</v>
      </c>
      <c r="C20" t="s">
        <v>57</v>
      </c>
      <c r="D20" t="s">
        <v>46</v>
      </c>
      <c r="E20" t="s">
        <v>25</v>
      </c>
      <c r="F20" t="s">
        <v>61</v>
      </c>
      <c r="G20" t="s">
        <v>53</v>
      </c>
      <c r="H20" t="s">
        <v>49</v>
      </c>
      <c r="I20" t="s">
        <v>54</v>
      </c>
      <c r="J20" t="s">
        <v>59</v>
      </c>
      <c r="K20" t="s">
        <v>30</v>
      </c>
    </row>
    <row r="21" spans="1:11" x14ac:dyDescent="0.2">
      <c r="A21">
        <v>20</v>
      </c>
      <c r="B21" t="s">
        <v>62</v>
      </c>
      <c r="C21" t="s">
        <v>57</v>
      </c>
      <c r="D21" t="s">
        <v>63</v>
      </c>
      <c r="E21" t="s">
        <v>62</v>
      </c>
      <c r="F21" t="s">
        <v>61</v>
      </c>
      <c r="G21" t="s">
        <v>53</v>
      </c>
      <c r="H21" t="s">
        <v>49</v>
      </c>
      <c r="I21" t="s">
        <v>54</v>
      </c>
      <c r="J21" t="s">
        <v>59</v>
      </c>
      <c r="K2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zoomScale="125" workbookViewId="0">
      <selection activeCell="C11" sqref="C11"/>
    </sheetView>
  </sheetViews>
  <sheetFormatPr baseColWidth="10" defaultColWidth="8.83203125" defaultRowHeight="15" x14ac:dyDescent="0.2"/>
  <cols>
    <col min="1" max="1" width="68" customWidth="1"/>
    <col min="2" max="2" width="25" customWidth="1"/>
    <col min="3" max="3" width="23" customWidth="1"/>
    <col min="4" max="4" width="13" customWidth="1"/>
    <col min="5" max="5" width="93" customWidth="1"/>
  </cols>
  <sheetData>
    <row r="1" spans="1:5" x14ac:dyDescent="0.2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</row>
    <row r="2" spans="1:5" x14ac:dyDescent="0.2">
      <c r="A2" t="s">
        <v>83</v>
      </c>
      <c r="B2" t="s">
        <v>1</v>
      </c>
      <c r="C2" t="s">
        <v>84</v>
      </c>
      <c r="D2" t="s">
        <v>85</v>
      </c>
      <c r="E2" t="s">
        <v>86</v>
      </c>
    </row>
    <row r="3" spans="1:5" x14ac:dyDescent="0.2">
      <c r="A3" t="s">
        <v>87</v>
      </c>
      <c r="B3" t="s">
        <v>2</v>
      </c>
      <c r="C3" t="s">
        <v>88</v>
      </c>
      <c r="D3" t="s">
        <v>89</v>
      </c>
      <c r="E3" t="s">
        <v>90</v>
      </c>
    </row>
    <row r="4" spans="1:5" x14ac:dyDescent="0.2">
      <c r="A4" t="s">
        <v>91</v>
      </c>
      <c r="B4" t="s">
        <v>3</v>
      </c>
      <c r="C4" t="s">
        <v>88</v>
      </c>
      <c r="D4" t="s">
        <v>89</v>
      </c>
      <c r="E4" t="s">
        <v>92</v>
      </c>
    </row>
    <row r="5" spans="1:5" x14ac:dyDescent="0.2">
      <c r="A5" t="s">
        <v>93</v>
      </c>
      <c r="B5" t="s">
        <v>4</v>
      </c>
      <c r="C5" t="s">
        <v>117</v>
      </c>
      <c r="D5" t="s">
        <v>85</v>
      </c>
      <c r="E5" t="s">
        <v>94</v>
      </c>
    </row>
    <row r="6" spans="1:5" x14ac:dyDescent="0.2">
      <c r="A6" t="s">
        <v>95</v>
      </c>
      <c r="B6" t="s">
        <v>5</v>
      </c>
      <c r="C6" t="s">
        <v>88</v>
      </c>
      <c r="D6" t="s">
        <v>89</v>
      </c>
      <c r="E6" t="s">
        <v>96</v>
      </c>
    </row>
    <row r="7" spans="1:5" x14ac:dyDescent="0.2">
      <c r="A7" t="s">
        <v>97</v>
      </c>
      <c r="B7" t="s">
        <v>6</v>
      </c>
      <c r="C7" t="s">
        <v>88</v>
      </c>
      <c r="D7" t="s">
        <v>89</v>
      </c>
      <c r="E7" t="s">
        <v>98</v>
      </c>
    </row>
    <row r="8" spans="1:5" x14ac:dyDescent="0.2">
      <c r="A8" t="s">
        <v>99</v>
      </c>
      <c r="B8" t="s">
        <v>7</v>
      </c>
      <c r="C8" t="s">
        <v>88</v>
      </c>
      <c r="D8" t="s">
        <v>89</v>
      </c>
      <c r="E8" t="s">
        <v>100</v>
      </c>
    </row>
    <row r="9" spans="1:5" x14ac:dyDescent="0.2">
      <c r="A9" t="s">
        <v>101</v>
      </c>
      <c r="B9" t="s">
        <v>8</v>
      </c>
      <c r="C9" t="s">
        <v>84</v>
      </c>
      <c r="D9" t="s">
        <v>85</v>
      </c>
      <c r="E9" t="s">
        <v>102</v>
      </c>
    </row>
    <row r="10" spans="1:5" x14ac:dyDescent="0.2">
      <c r="A10" t="s">
        <v>103</v>
      </c>
      <c r="B10" t="s">
        <v>9</v>
      </c>
      <c r="C10" t="s">
        <v>88</v>
      </c>
      <c r="D10" t="s">
        <v>89</v>
      </c>
      <c r="E10" t="s">
        <v>104</v>
      </c>
    </row>
    <row r="11" spans="1:5" x14ac:dyDescent="0.2">
      <c r="A11" t="s">
        <v>105</v>
      </c>
      <c r="B11" t="s">
        <v>10</v>
      </c>
      <c r="C11" t="s">
        <v>117</v>
      </c>
      <c r="D11" t="s">
        <v>85</v>
      </c>
      <c r="E11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E3F3-3288-404B-99EC-2A80EBD7A920}">
  <dimension ref="A1:L35"/>
  <sheetViews>
    <sheetView zoomScale="90" workbookViewId="0">
      <selection activeCell="G11" sqref="G11"/>
    </sheetView>
  </sheetViews>
  <sheetFormatPr baseColWidth="10" defaultRowHeight="15" x14ac:dyDescent="0.2"/>
  <cols>
    <col min="1" max="1" width="26.5" customWidth="1"/>
    <col min="2" max="2" width="18.6640625" customWidth="1"/>
    <col min="6" max="6" width="6" customWidth="1"/>
    <col min="7" max="7" width="5.5" customWidth="1"/>
    <col min="8" max="8" width="7.33203125" customWidth="1"/>
    <col min="9" max="9" width="6" customWidth="1"/>
    <col min="10" max="10" width="6.5" customWidth="1"/>
    <col min="11" max="11" width="6.83203125" customWidth="1"/>
    <col min="12" max="12" width="6.33203125" customWidth="1"/>
  </cols>
  <sheetData>
    <row r="1" spans="1:12" x14ac:dyDescent="0.2">
      <c r="A1" s="4" t="s">
        <v>3</v>
      </c>
      <c r="B1" s="5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</row>
    <row r="2" spans="1:12" x14ac:dyDescent="0.2">
      <c r="A2" s="6" t="s">
        <v>107</v>
      </c>
      <c r="B2" s="7">
        <f>IF(A2="Unter 5 ", 1, IF(A2="5-10 Stunden", 2, IF(A2="10-20 Stunden", 3, IF(A2="Über 20 Stunden", 4))))</f>
        <v>1</v>
      </c>
      <c r="C2" t="str">
        <f>A1</f>
        <v>Selbststudium_Stunden</v>
      </c>
      <c r="E2">
        <f>COUNTIF(A2:A21, "*")</f>
        <v>20</v>
      </c>
      <c r="F2">
        <f>MIN(B2:B21)</f>
        <v>1</v>
      </c>
      <c r="G2">
        <f>_xlfn.QUARTILE.INC(B2:B21,1)</f>
        <v>2</v>
      </c>
      <c r="H2">
        <f>MEDIAN(B2:B21)</f>
        <v>2</v>
      </c>
      <c r="I2">
        <f>_xlfn.QUARTILE.INC(B2:B21,3)</f>
        <v>3</v>
      </c>
      <c r="J2">
        <f>MAX(B2:B21)</f>
        <v>4</v>
      </c>
      <c r="K2" cm="1">
        <f t="array" ref="K2">MEDIAN(ABS(B2:B21-H2))</f>
        <v>0</v>
      </c>
      <c r="L2">
        <f>_xlfn.QUARTILE.EXC(B2:B21,3) - _xlfn.QUARTILE.INC(B2:B21,1)</f>
        <v>1</v>
      </c>
    </row>
    <row r="3" spans="1:12" x14ac:dyDescent="0.2">
      <c r="A3" s="6" t="s">
        <v>107</v>
      </c>
      <c r="B3" s="7">
        <f t="shared" ref="B3:B21" si="0">IF(A3="Unter 5 ", 1, IF(A3="5-10 Stunden", 2, IF(A3="10-20 Stunden", 3, IF(A3="Über 20 Stunden", 4))))</f>
        <v>1</v>
      </c>
      <c r="C3" s="3"/>
    </row>
    <row r="4" spans="1:12" x14ac:dyDescent="0.2">
      <c r="A4" s="6" t="s">
        <v>24</v>
      </c>
      <c r="B4" s="7">
        <f t="shared" si="0"/>
        <v>2</v>
      </c>
      <c r="C4" s="3"/>
    </row>
    <row r="5" spans="1:12" x14ac:dyDescent="0.2">
      <c r="A5" s="6" t="s">
        <v>24</v>
      </c>
      <c r="B5" s="7">
        <f t="shared" si="0"/>
        <v>2</v>
      </c>
      <c r="C5" s="3"/>
    </row>
    <row r="6" spans="1:12" x14ac:dyDescent="0.2">
      <c r="A6" s="6" t="s">
        <v>24</v>
      </c>
      <c r="B6" s="7">
        <f t="shared" si="0"/>
        <v>2</v>
      </c>
      <c r="C6" s="3"/>
    </row>
    <row r="7" spans="1:12" x14ac:dyDescent="0.2">
      <c r="A7" s="6" t="s">
        <v>24</v>
      </c>
      <c r="B7" s="7">
        <f t="shared" si="0"/>
        <v>2</v>
      </c>
      <c r="C7" s="3"/>
    </row>
    <row r="8" spans="1:12" x14ac:dyDescent="0.2">
      <c r="A8" s="6" t="s">
        <v>24</v>
      </c>
      <c r="B8" s="7">
        <f t="shared" si="0"/>
        <v>2</v>
      </c>
    </row>
    <row r="9" spans="1:12" x14ac:dyDescent="0.2">
      <c r="A9" s="6" t="s">
        <v>24</v>
      </c>
      <c r="B9" s="7">
        <f t="shared" si="0"/>
        <v>2</v>
      </c>
    </row>
    <row r="10" spans="1:12" x14ac:dyDescent="0.2">
      <c r="A10" s="6" t="s">
        <v>24</v>
      </c>
      <c r="B10" s="7">
        <f t="shared" si="0"/>
        <v>2</v>
      </c>
    </row>
    <row r="11" spans="1:12" x14ac:dyDescent="0.2">
      <c r="A11" s="6" t="s">
        <v>24</v>
      </c>
      <c r="B11" s="7">
        <f t="shared" si="0"/>
        <v>2</v>
      </c>
    </row>
    <row r="12" spans="1:12" x14ac:dyDescent="0.2">
      <c r="A12" s="6" t="s">
        <v>24</v>
      </c>
      <c r="B12" s="7">
        <f t="shared" si="0"/>
        <v>2</v>
      </c>
    </row>
    <row r="13" spans="1:12" x14ac:dyDescent="0.2">
      <c r="A13" s="6" t="s">
        <v>24</v>
      </c>
      <c r="B13" s="7">
        <f t="shared" si="0"/>
        <v>2</v>
      </c>
    </row>
    <row r="14" spans="1:12" x14ac:dyDescent="0.2">
      <c r="A14" s="6" t="s">
        <v>24</v>
      </c>
      <c r="B14" s="7">
        <f t="shared" si="0"/>
        <v>2</v>
      </c>
    </row>
    <row r="15" spans="1:12" x14ac:dyDescent="0.2">
      <c r="A15" s="6" t="s">
        <v>46</v>
      </c>
      <c r="B15" s="7">
        <f t="shared" si="0"/>
        <v>3</v>
      </c>
    </row>
    <row r="16" spans="1:12" x14ac:dyDescent="0.2">
      <c r="A16" s="6" t="s">
        <v>46</v>
      </c>
      <c r="B16" s="7">
        <f t="shared" si="0"/>
        <v>3</v>
      </c>
    </row>
    <row r="17" spans="1:2" x14ac:dyDescent="0.2">
      <c r="A17" s="6" t="s">
        <v>46</v>
      </c>
      <c r="B17" s="7">
        <f t="shared" si="0"/>
        <v>3</v>
      </c>
    </row>
    <row r="18" spans="1:2" x14ac:dyDescent="0.2">
      <c r="A18" s="6" t="s">
        <v>46</v>
      </c>
      <c r="B18" s="7">
        <f t="shared" si="0"/>
        <v>3</v>
      </c>
    </row>
    <row r="19" spans="1:2" x14ac:dyDescent="0.2">
      <c r="A19" s="6" t="s">
        <v>46</v>
      </c>
      <c r="B19" s="7">
        <f t="shared" si="0"/>
        <v>3</v>
      </c>
    </row>
    <row r="20" spans="1:2" x14ac:dyDescent="0.2">
      <c r="A20" s="6" t="s">
        <v>46</v>
      </c>
      <c r="B20" s="7">
        <f t="shared" si="0"/>
        <v>3</v>
      </c>
    </row>
    <row r="21" spans="1:2" x14ac:dyDescent="0.2">
      <c r="A21" s="6" t="s">
        <v>63</v>
      </c>
      <c r="B21" s="7">
        <f t="shared" si="0"/>
        <v>4</v>
      </c>
    </row>
    <row r="25" spans="1:2" x14ac:dyDescent="0.2">
      <c r="A25" s="1"/>
    </row>
    <row r="26" spans="1:2" x14ac:dyDescent="0.2">
      <c r="A26" s="1"/>
      <c r="B26" s="1"/>
    </row>
    <row r="34" spans="1:2" x14ac:dyDescent="0.2">
      <c r="A34" s="1"/>
    </row>
    <row r="35" spans="1:2" x14ac:dyDescent="0.2">
      <c r="A35" s="1"/>
      <c r="B35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2FB1-BFF4-E24A-A3BA-02E8F9B99E2C}">
  <dimension ref="A1:F21"/>
  <sheetViews>
    <sheetView workbookViewId="0">
      <selection activeCell="F12" sqref="F12"/>
    </sheetView>
  </sheetViews>
  <sheetFormatPr baseColWidth="10" defaultRowHeight="15" x14ac:dyDescent="0.2"/>
  <cols>
    <col min="1" max="1" width="25.1640625" customWidth="1"/>
    <col min="3" max="3" width="15.83203125" customWidth="1"/>
    <col min="4" max="4" width="25.33203125" customWidth="1"/>
    <col min="5" max="5" width="24.5" customWidth="1"/>
    <col min="6" max="6" width="21.5" customWidth="1"/>
  </cols>
  <sheetData>
    <row r="1" spans="1:6" x14ac:dyDescent="0.2">
      <c r="A1" s="4" t="s">
        <v>1</v>
      </c>
      <c r="C1" s="6" t="s">
        <v>109</v>
      </c>
      <c r="D1" s="6"/>
      <c r="E1" s="8" t="s">
        <v>118</v>
      </c>
      <c r="F1" s="6" t="s">
        <v>119</v>
      </c>
    </row>
    <row r="2" spans="1:6" x14ac:dyDescent="0.2">
      <c r="A2" s="6" t="s">
        <v>11</v>
      </c>
      <c r="C2" s="6">
        <f>COUNTIF(A2:A21,"*")</f>
        <v>20</v>
      </c>
      <c r="D2" s="6" t="str" cm="1">
        <f t="array" ref="D2:D5">_xlfn.UNIQUE(A2:A21)</f>
        <v>Interesse am Fachgebiet</v>
      </c>
      <c r="E2" s="8">
        <f>COUNTIFS(A2:A21,"Interesse am Fachgebiet")</f>
        <v>15</v>
      </c>
      <c r="F2" s="9">
        <f>E2/C2</f>
        <v>0.75</v>
      </c>
    </row>
    <row r="3" spans="1:6" x14ac:dyDescent="0.2">
      <c r="A3" s="6" t="s">
        <v>11</v>
      </c>
      <c r="D3" s="6" t="str">
        <v>Gute Berufsaussichten</v>
      </c>
      <c r="E3" s="8">
        <f>COUNTIFS(A2:A21,"Gute Berufsaussichten")</f>
        <v>2</v>
      </c>
      <c r="F3" s="9">
        <f>E3/C2</f>
        <v>0.1</v>
      </c>
    </row>
    <row r="4" spans="1:6" x14ac:dyDescent="0.2">
      <c r="A4" s="6" t="s">
        <v>11</v>
      </c>
      <c r="D4" s="6" t="str">
        <v>Zufall / keine klare Entscheidung</v>
      </c>
      <c r="E4" s="8">
        <f>COUNTIFS(A2:A21,"Zufall / keine klare Entscheidung")</f>
        <v>2</v>
      </c>
      <c r="F4" s="9">
        <f>E4/C2</f>
        <v>0.1</v>
      </c>
    </row>
    <row r="5" spans="1:6" x14ac:dyDescent="0.2">
      <c r="A5" s="6" t="s">
        <v>11</v>
      </c>
      <c r="D5" s="6" t="str">
        <v>Sonstiges</v>
      </c>
      <c r="E5" s="8">
        <f>COUNTIFS(A2:A21,"Sonstiges")</f>
        <v>1</v>
      </c>
      <c r="F5" s="9">
        <f>E5/C2</f>
        <v>0.05</v>
      </c>
    </row>
    <row r="6" spans="1:6" x14ac:dyDescent="0.2">
      <c r="A6" s="6" t="s">
        <v>11</v>
      </c>
    </row>
    <row r="7" spans="1:6" x14ac:dyDescent="0.2">
      <c r="A7" s="6" t="s">
        <v>11</v>
      </c>
    </row>
    <row r="8" spans="1:6" x14ac:dyDescent="0.2">
      <c r="A8" s="6" t="s">
        <v>11</v>
      </c>
    </row>
    <row r="9" spans="1:6" x14ac:dyDescent="0.2">
      <c r="A9" s="6" t="s">
        <v>11</v>
      </c>
    </row>
    <row r="10" spans="1:6" x14ac:dyDescent="0.2">
      <c r="A10" s="6" t="s">
        <v>11</v>
      </c>
    </row>
    <row r="11" spans="1:6" x14ac:dyDescent="0.2">
      <c r="A11" s="6" t="s">
        <v>11</v>
      </c>
    </row>
    <row r="12" spans="1:6" x14ac:dyDescent="0.2">
      <c r="A12" s="6" t="s">
        <v>11</v>
      </c>
    </row>
    <row r="13" spans="1:6" x14ac:dyDescent="0.2">
      <c r="A13" s="6" t="s">
        <v>11</v>
      </c>
    </row>
    <row r="14" spans="1:6" x14ac:dyDescent="0.2">
      <c r="A14" s="6" t="s">
        <v>11</v>
      </c>
    </row>
    <row r="15" spans="1:6" x14ac:dyDescent="0.2">
      <c r="A15" s="6" t="s">
        <v>11</v>
      </c>
    </row>
    <row r="16" spans="1:6" x14ac:dyDescent="0.2">
      <c r="A16" s="6" t="s">
        <v>11</v>
      </c>
    </row>
    <row r="17" spans="1:1" x14ac:dyDescent="0.2">
      <c r="A17" s="6" t="s">
        <v>50</v>
      </c>
    </row>
    <row r="18" spans="1:1" x14ac:dyDescent="0.2">
      <c r="A18" s="6" t="s">
        <v>50</v>
      </c>
    </row>
    <row r="19" spans="1:1" x14ac:dyDescent="0.2">
      <c r="A19" s="6" t="s">
        <v>56</v>
      </c>
    </row>
    <row r="20" spans="1:1" x14ac:dyDescent="0.2">
      <c r="A20" s="6" t="s">
        <v>56</v>
      </c>
    </row>
    <row r="21" spans="1:1" x14ac:dyDescent="0.2">
      <c r="A21" s="6" t="s">
        <v>62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1"/>
  <sheetViews>
    <sheetView topLeftCell="A48" workbookViewId="0">
      <selection activeCell="O68" sqref="O68"/>
    </sheetView>
  </sheetViews>
  <sheetFormatPr baseColWidth="10" defaultColWidth="8.83203125" defaultRowHeight="15" x14ac:dyDescent="0.2"/>
  <cols>
    <col min="1" max="1" width="27.83203125" customWidth="1"/>
  </cols>
  <sheetData>
    <row r="1" spans="1:2" x14ac:dyDescent="0.2">
      <c r="A1" s="1" t="s">
        <v>64</v>
      </c>
      <c r="B1" s="1"/>
    </row>
    <row r="2" spans="1:2" x14ac:dyDescent="0.2">
      <c r="A2" s="1" t="s">
        <v>65</v>
      </c>
      <c r="B2" s="1" t="s">
        <v>66</v>
      </c>
    </row>
    <row r="3" spans="1:2" x14ac:dyDescent="0.2">
      <c r="A3" t="s">
        <v>12</v>
      </c>
      <c r="B3">
        <f>COUNTIF(Rohdaten!$C$2:$C$21,A3)</f>
        <v>1</v>
      </c>
    </row>
    <row r="4" spans="1:2" x14ac:dyDescent="0.2">
      <c r="A4" t="s">
        <v>21</v>
      </c>
      <c r="B4">
        <f>COUNTIF(Rohdaten!$C$2:$C$21,A4)</f>
        <v>11</v>
      </c>
    </row>
    <row r="5" spans="1:2" x14ac:dyDescent="0.2">
      <c r="A5" t="s">
        <v>44</v>
      </c>
      <c r="B5">
        <f>COUNTIF(Rohdaten!$C$2:$C$21,A5)</f>
        <v>5</v>
      </c>
    </row>
    <row r="6" spans="1:2" x14ac:dyDescent="0.2">
      <c r="A6" t="s">
        <v>57</v>
      </c>
      <c r="B6">
        <f>COUNTIF(Rohdaten!$C$2:$C$21,A6)</f>
        <v>3</v>
      </c>
    </row>
    <row r="7" spans="1:2" x14ac:dyDescent="0.2">
      <c r="A7" t="s">
        <v>67</v>
      </c>
      <c r="B7">
        <f>COUNTIF(Rohdaten!$C$2:$C$21,A7)</f>
        <v>0</v>
      </c>
    </row>
    <row r="17" spans="1:2" x14ac:dyDescent="0.2">
      <c r="A17" s="1" t="s">
        <v>68</v>
      </c>
    </row>
    <row r="18" spans="1:2" x14ac:dyDescent="0.2">
      <c r="A18" s="1" t="s">
        <v>65</v>
      </c>
      <c r="B18" s="1" t="s">
        <v>66</v>
      </c>
    </row>
    <row r="19" spans="1:2" x14ac:dyDescent="0.2">
      <c r="A19" t="s">
        <v>69</v>
      </c>
      <c r="B19">
        <f>COUNTIF(Rohdaten!$G$2:$G$21,A19)</f>
        <v>0</v>
      </c>
    </row>
    <row r="20" spans="1:2" x14ac:dyDescent="0.2">
      <c r="A20" t="s">
        <v>16</v>
      </c>
      <c r="B20">
        <f>COUNTIF(Rohdaten!$G$2:$G$21,A20)</f>
        <v>3</v>
      </c>
    </row>
    <row r="21" spans="1:2" x14ac:dyDescent="0.2">
      <c r="A21" t="s">
        <v>29</v>
      </c>
      <c r="B21">
        <f>COUNTIF(Rohdaten!$G$2:$G$21,A21)</f>
        <v>10</v>
      </c>
    </row>
    <row r="22" spans="1:2" x14ac:dyDescent="0.2">
      <c r="A22" t="s">
        <v>48</v>
      </c>
      <c r="B22">
        <f>COUNTIF(Rohdaten!$G$2:$G$21,A22)</f>
        <v>3</v>
      </c>
    </row>
    <row r="23" spans="1:2" x14ac:dyDescent="0.2">
      <c r="A23" t="s">
        <v>53</v>
      </c>
      <c r="B23">
        <f>COUNTIF(Rohdaten!$G$2:$G$21,A23)</f>
        <v>4</v>
      </c>
    </row>
    <row r="33" spans="1:2" x14ac:dyDescent="0.2">
      <c r="A33" s="1" t="s">
        <v>70</v>
      </c>
    </row>
    <row r="34" spans="1:2" x14ac:dyDescent="0.2">
      <c r="A34" s="1" t="s">
        <v>65</v>
      </c>
      <c r="B34" s="1" t="s">
        <v>66</v>
      </c>
    </row>
    <row r="35" spans="1:2" x14ac:dyDescent="0.2">
      <c r="A35" t="s">
        <v>71</v>
      </c>
      <c r="B35">
        <f>COUNTIF(Rohdaten!$J$2:$J$21,A35)</f>
        <v>0</v>
      </c>
    </row>
    <row r="36" spans="1:2" x14ac:dyDescent="0.2">
      <c r="A36" t="s">
        <v>19</v>
      </c>
      <c r="B36">
        <f>COUNTIF(Rohdaten!$J$2:$J$21,A36)</f>
        <v>8</v>
      </c>
    </row>
    <row r="37" spans="1:2" x14ac:dyDescent="0.2">
      <c r="A37" t="s">
        <v>40</v>
      </c>
      <c r="B37">
        <f>COUNTIF(Rohdaten!$J$2:$J$21,A37)</f>
        <v>8</v>
      </c>
    </row>
    <row r="38" spans="1:2" x14ac:dyDescent="0.2">
      <c r="A38" t="s">
        <v>55</v>
      </c>
      <c r="B38">
        <f>COUNTIF(Rohdaten!$J$2:$J$21,A38)</f>
        <v>1</v>
      </c>
    </row>
    <row r="39" spans="1:2" x14ac:dyDescent="0.2">
      <c r="A39" t="s">
        <v>59</v>
      </c>
      <c r="B39">
        <f>COUNTIF(Rohdaten!$J$2:$J$21,A39)</f>
        <v>3</v>
      </c>
    </row>
    <row r="49" spans="1:2" x14ac:dyDescent="0.2">
      <c r="A49" s="1" t="s">
        <v>72</v>
      </c>
    </row>
    <row r="50" spans="1:2" x14ac:dyDescent="0.2">
      <c r="A50" s="1" t="s">
        <v>73</v>
      </c>
      <c r="B50" s="1" t="s">
        <v>74</v>
      </c>
    </row>
    <row r="51" spans="1:2" x14ac:dyDescent="0.2">
      <c r="A51" t="s">
        <v>22</v>
      </c>
      <c r="B51">
        <f>COUNTIF(Rohdaten!$E$2:$E$21,"*Zusammenfassungen schreiben*")</f>
        <v>12</v>
      </c>
    </row>
    <row r="52" spans="1:2" x14ac:dyDescent="0.2">
      <c r="A52" t="s">
        <v>47</v>
      </c>
      <c r="B52">
        <f>COUNTIF(Rohdaten!$E$2:$E$21,"*Karteikarten / Lern-Apps*")</f>
        <v>5</v>
      </c>
    </row>
    <row r="53" spans="1:2" x14ac:dyDescent="0.2">
      <c r="A53" t="s">
        <v>75</v>
      </c>
      <c r="B53">
        <f>COUNTIF(Rohdaten!$E$2:$E$21,"*Lerngruppen*")</f>
        <v>4</v>
      </c>
    </row>
    <row r="54" spans="1:2" x14ac:dyDescent="0.2">
      <c r="A54" t="s">
        <v>27</v>
      </c>
      <c r="B54">
        <f>COUNTIF(Rohdaten!$E$2:$E$21,"*Videos / Online Kurse*")</f>
        <v>8</v>
      </c>
    </row>
    <row r="55" spans="1:2" x14ac:dyDescent="0.2">
      <c r="A55" t="s">
        <v>62</v>
      </c>
      <c r="B55">
        <f>COUNTIF(Rohdaten!$E$2:$E$21,"*Sonstiges*")</f>
        <v>4</v>
      </c>
    </row>
    <row r="65" spans="1:2" x14ac:dyDescent="0.2">
      <c r="A65" s="1" t="s">
        <v>76</v>
      </c>
    </row>
    <row r="66" spans="1:2" x14ac:dyDescent="0.2">
      <c r="A66" s="1" t="s">
        <v>77</v>
      </c>
      <c r="B66" s="1" t="s">
        <v>74</v>
      </c>
    </row>
    <row r="67" spans="1:2" x14ac:dyDescent="0.2">
      <c r="A67" t="s">
        <v>23</v>
      </c>
      <c r="B67">
        <f>COUNTIF(Rohdaten!$K$2:$K$21,"*Bessere Zeitplannung*")</f>
        <v>10</v>
      </c>
    </row>
    <row r="68" spans="1:2" x14ac:dyDescent="0.2">
      <c r="A68" t="s">
        <v>36</v>
      </c>
      <c r="B68">
        <f>COUNTIF(Rohdaten!$K$2:$K$21,"*Unterstützung durch Dozent:innen*")</f>
        <v>1</v>
      </c>
    </row>
    <row r="69" spans="1:2" x14ac:dyDescent="0.2">
      <c r="A69" t="s">
        <v>33</v>
      </c>
      <c r="B69">
        <f>COUNTIF(Rohdaten!$K$2:$K$21,"*Lernräume / ruhige Umgebung*")</f>
        <v>5</v>
      </c>
    </row>
    <row r="70" spans="1:2" x14ac:dyDescent="0.2">
      <c r="A70" t="s">
        <v>60</v>
      </c>
      <c r="B70">
        <f>COUNTIF(Rohdaten!$K$2:$K$21,"*Austausch mit Kommiliton:innen*")</f>
        <v>2</v>
      </c>
    </row>
    <row r="71" spans="1:2" x14ac:dyDescent="0.2">
      <c r="A71" t="s">
        <v>26</v>
      </c>
      <c r="B71">
        <f>COUNTIF(Rohdaten!$K$2:$K$21,"*Coaching / Motivationstraining*")</f>
        <v>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Rohdaten</vt:lpstr>
      <vt:lpstr>Datenschema</vt:lpstr>
      <vt:lpstr>Datenerhebung_ordinal</vt:lpstr>
      <vt:lpstr>Datenerhebung_nominal</vt:lpstr>
      <vt:lpstr>Auswertung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Hieringer Finn (hierifin)</cp:lastModifiedBy>
  <dcterms:created xsi:type="dcterms:W3CDTF">2025-11-17T13:34:53Z</dcterms:created>
  <dcterms:modified xsi:type="dcterms:W3CDTF">2025-11-17T18:58:53Z</dcterms:modified>
</cp:coreProperties>
</file>